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1"/>
  </bookViews>
  <sheets>
    <sheet name="Distillery 16.03.2026" sheetId="3" r:id="rId1"/>
    <sheet name="Export ENA" sheetId="7" r:id="rId2"/>
    <sheet name="Export AA" sheetId="9" r:id="rId3"/>
  </sheets>
  <calcPr calcId="124519"/>
</workbook>
</file>

<file path=xl/calcChain.xml><?xml version="1.0" encoding="utf-8"?>
<calcChain xmlns="http://schemas.openxmlformats.org/spreadsheetml/2006/main">
  <c r="E97" i="3"/>
  <c r="H97" s="1"/>
  <c r="D97"/>
  <c r="H95"/>
  <c r="D95"/>
  <c r="H94"/>
  <c r="D94"/>
  <c r="H93"/>
  <c r="D93"/>
  <c r="H92"/>
  <c r="D92"/>
  <c r="C91"/>
  <c r="D91" s="1"/>
  <c r="H91" s="1"/>
  <c r="D90"/>
  <c r="H90" s="1"/>
  <c r="D89"/>
  <c r="H89" s="1"/>
  <c r="D88"/>
  <c r="H88" s="1"/>
  <c r="D87"/>
  <c r="H87" s="1"/>
  <c r="D85"/>
  <c r="H85" s="1"/>
  <c r="D83"/>
  <c r="H83" s="1"/>
  <c r="D82"/>
  <c r="H82" s="1"/>
  <c r="D80"/>
  <c r="H80" s="1"/>
  <c r="D78"/>
  <c r="H78" s="1"/>
  <c r="D76"/>
  <c r="H76" s="1"/>
  <c r="D72"/>
  <c r="H72" s="1"/>
  <c r="D70"/>
  <c r="H70" s="1"/>
  <c r="D68"/>
  <c r="H68" s="1"/>
  <c r="D66"/>
  <c r="H66" s="1"/>
  <c r="D64"/>
  <c r="H64" s="1"/>
  <c r="D62"/>
  <c r="H62" s="1"/>
  <c r="D60"/>
  <c r="H60" s="1"/>
  <c r="D58"/>
  <c r="H58" s="1"/>
  <c r="E56"/>
  <c r="D56"/>
  <c r="H56" s="1"/>
  <c r="E54"/>
  <c r="D54"/>
  <c r="H54" s="1"/>
  <c r="D52"/>
  <c r="H52" s="1"/>
  <c r="D50"/>
  <c r="H50" s="1"/>
  <c r="D48"/>
  <c r="H48" s="1"/>
  <c r="F46"/>
  <c r="E46"/>
  <c r="D46"/>
  <c r="H46" s="1"/>
  <c r="D44"/>
  <c r="H44" s="1"/>
  <c r="D42"/>
  <c r="H42" s="1"/>
  <c r="D40"/>
  <c r="H40" s="1"/>
  <c r="D38"/>
  <c r="H38" s="1"/>
  <c r="D36"/>
  <c r="H36" s="1"/>
  <c r="D34"/>
  <c r="H34" s="1"/>
  <c r="D32"/>
  <c r="H32" s="1"/>
  <c r="D28"/>
  <c r="H28" s="1"/>
  <c r="D26"/>
  <c r="H26" s="1"/>
  <c r="D24"/>
  <c r="H24" s="1"/>
  <c r="D22"/>
  <c r="H22" s="1"/>
  <c r="D20"/>
  <c r="H20" s="1"/>
  <c r="D18"/>
  <c r="H18" s="1"/>
  <c r="D17"/>
  <c r="H17" s="1"/>
  <c r="D15"/>
  <c r="H15" s="1"/>
  <c r="D14"/>
  <c r="H14" s="1"/>
  <c r="C14"/>
  <c r="H13"/>
  <c r="D13"/>
  <c r="H12"/>
  <c r="D12"/>
  <c r="H11"/>
  <c r="D11"/>
  <c r="H10"/>
  <c r="D10"/>
  <c r="C9"/>
  <c r="D9" s="1"/>
  <c r="H9" s="1"/>
  <c r="D8"/>
  <c r="H8" s="1"/>
  <c r="C8"/>
</calcChain>
</file>

<file path=xl/sharedStrings.xml><?xml version="1.0" encoding="utf-8"?>
<sst xmlns="http://schemas.openxmlformats.org/spreadsheetml/2006/main" count="100" uniqueCount="79">
  <si>
    <t>M/s Pearl Distillery Private Limited</t>
  </si>
  <si>
    <t>DISTILLERY UNIT (IMFL)</t>
  </si>
  <si>
    <t>(ENA/SPECIAL SPIRITS)</t>
  </si>
  <si>
    <t>Sl.No</t>
  </si>
  <si>
    <t>Name of the Unit &amp; S/L or Tie up with the unit with Code No.</t>
  </si>
  <si>
    <t>Base Quota in PLs</t>
  </si>
  <si>
    <t>Base Quota in BLs</t>
  </si>
  <si>
    <t>Opening Balance</t>
  </si>
  <si>
    <t>So for Alloted</t>
  </si>
  <si>
    <t>So for lifted</t>
  </si>
  <si>
    <t>Balance Quota</t>
  </si>
  <si>
    <t>AC(D) Kakinada</t>
  </si>
  <si>
    <t>M/s PMK Distillations Private Limited Franchise with M/s Radico Khaitan Limited</t>
  </si>
  <si>
    <t>M/s PMK Distillations Private Limited Sublease M/s Radico Khaitan Limited</t>
  </si>
  <si>
    <t xml:space="preserve">M/s PMK Distillations Private Limited Franchise M/s Jagatjit Industries Ltd </t>
  </si>
  <si>
    <t>M/s PMK Distillations Private Limited Franchise M/s Kyandal India (P) Limited</t>
  </si>
  <si>
    <t>M/s PMK Distillations Private Limited Franchise M/s Khoday India Ltd</t>
  </si>
  <si>
    <t>M/s PMK Distillations Private Limited Franchise M/s ALcobrew Distilleries India Ltd</t>
  </si>
  <si>
    <t>M/s PMK Distillations Private Limited Franchise M/s BDH Agro Ventures</t>
  </si>
  <si>
    <t>M/s PMK Distillations Private Limited Franchise M/s Sai Botinical Distilleries LLP</t>
  </si>
  <si>
    <t>M/s BDH Agro Ventures Private Limited,</t>
  </si>
  <si>
    <t>M/s BDH Agro Ventures Private Limited Sublease at M/s Radico Khaitan Limited</t>
  </si>
  <si>
    <t>M/s GSB &amp; Co, LLP</t>
  </si>
  <si>
    <t>M/s Prag Distillery Pvt  S/L M/s. Tilak Nagar Industries Ltd</t>
  </si>
  <si>
    <t>M/s John Dist Sub-lease at M/s Visakha Distillery LLP</t>
  </si>
  <si>
    <t>M/s. Tilak Nagar Industries Ltd Sub-lease at M/s Visakha Distillery LLP</t>
  </si>
  <si>
    <t>M/s. Southsea Spirits Sub-lease at M/s Visakha Distillery LLP</t>
  </si>
  <si>
    <t>AC(D) Vijayawada</t>
  </si>
  <si>
    <t>M/s Sharvani Alco Brew</t>
  </si>
  <si>
    <t>M/s BRK</t>
  </si>
  <si>
    <t>M/s BRK Sublease at M/s. John Distilleries (P) ltd</t>
  </si>
  <si>
    <t>M/s BVS Distilleries Sublease at M/s. Pernod Ricard Indian (P) Ltd</t>
  </si>
  <si>
    <t>M/s Continental Wines Sublease at M/s Amber Spirits</t>
  </si>
  <si>
    <t>M/s Continental Wines Sublease at M/s ADS Spirits</t>
  </si>
  <si>
    <t>M/s GOWTHAMI AGRO INDS PVT LTD - Sublease - M/s.MS BIOTECH PVT LTD</t>
  </si>
  <si>
    <t>M/s Granyson Distillers &amp; Vintners Private Limited under Franchise agreement with M/s Pearl Distillery Private Limited</t>
  </si>
  <si>
    <t>M/s Omsons Marketing Private Limited Sublease at M/s Pearl Distillery Private Limited</t>
  </si>
  <si>
    <t>M/s United Spirits Limited Sublease at M/s Pearl Distillery Private Limited</t>
  </si>
  <si>
    <t>M/s. Vahini Distilleries Sub-Lease at M/s. Pearl Distillery Private Limited</t>
  </si>
  <si>
    <t>M/s United Spirits Limited Franchise with M/s Pearl Distillery Private Limited</t>
  </si>
  <si>
    <t>M/s Radico Khaitan Limited Sublease at M/s Pearl Distillery Private Limited</t>
  </si>
  <si>
    <t>M/s. Jagajit Industries Ltd Franchise with M/s Pearl Distillery Private Limited</t>
  </si>
  <si>
    <t>M/s. Sentini Bio Products (P) Ltd</t>
  </si>
  <si>
    <t>M/s. Sentini Bio Products (P) Ltd Sublease at M/s. John Distelliries Pvt Ltd</t>
  </si>
  <si>
    <t xml:space="preserve">M/s. Sentini Bio Products (P) Ltd Sublease at M/s. Talaknagar Industries </t>
  </si>
  <si>
    <t>M/s Amber Spirits Pvt., Ltd., Sub-lease at M/s Soaring Spirits Private Limited</t>
  </si>
  <si>
    <t>M/s.HB Spirits Sub-lease at M/s Soaring Spirits Private Limited</t>
  </si>
  <si>
    <t>M/s Tilaknagar Industries Limited Sub-lease at M/s Soaring Spirits Private Limited</t>
  </si>
  <si>
    <t>M/s National Industries Limited Franchise at M/s Soaring Spirits Private Limited</t>
  </si>
  <si>
    <t>AC(D) Tirupati</t>
  </si>
  <si>
    <t>M/s Eagle Distilleries</t>
  </si>
  <si>
    <t>M/s Esveeaar Distilleries Pvt Ltd - Sublease - M/s. Brindavan Marketing Agencies</t>
  </si>
  <si>
    <t>M/s Khoday Industries Ltd Sublease at M/s. Vantage Distilleries (P) Ltd</t>
  </si>
  <si>
    <t>M/s Transworld Breweries &amp; Distilleries Pvt.Ltd Sublease M/s Radico Khaitan Ltd</t>
  </si>
  <si>
    <t>M/s Transworld Breweries &amp; Distilleries Pvt.Ltd Franchise M/s Mohan Meakin</t>
  </si>
  <si>
    <t>SNJ Local</t>
  </si>
  <si>
    <t>M/S SPY Agro Industries Limitied</t>
  </si>
  <si>
    <t>M/S SPY Agro Industries Limitied - Sublease - M/S Radico Khaitan Ltd</t>
  </si>
  <si>
    <t>M/S SPY Agro Industries Limitied - Sublease -M/s. John Distilliries Pvt.Ltd</t>
  </si>
  <si>
    <t>M/S SPY Agro Industries Limitied - Sublease - M/s. Brindavan Marketing Agencies</t>
  </si>
  <si>
    <t>M/S SPY Agro Industries Limitied - Tie Up M/s. Jagajit Industries Ltd, Punjab</t>
  </si>
  <si>
    <t>M/S SPY Agro Industries Limitied - Sublease - M/s. Tilaknagar Industries Ltd</t>
  </si>
  <si>
    <t>M/S SPY Agro Industries Limitied - Sublease - M/s. MKP Impex LLP</t>
  </si>
  <si>
    <t>M/S SPY Agro Industries Limitied - Franchise M/S Radico Khaitan Ltd</t>
  </si>
  <si>
    <t xml:space="preserve">M/S SPY Agro Industries Limitied - Franchise M/s. Alcobrew Distilleires Delhi </t>
  </si>
  <si>
    <t xml:space="preserve">M/s Sri Krishna Enterprises sublease at M/s Allied Blenders and Distilleries  Limited </t>
  </si>
  <si>
    <t xml:space="preserve">PRIMARY UNIT </t>
  </si>
  <si>
    <t>Annual permitted Base Quota</t>
  </si>
  <si>
    <t>M/s. MS BIOTECH PVT LTD</t>
  </si>
  <si>
    <t>M/s Dalvkot Biofuels Private Limited</t>
  </si>
  <si>
    <t>M/s Capricorn Distilery Pvt Ltd</t>
  </si>
  <si>
    <t>M/s SNJ Sugars &amp; Products Ltd</t>
  </si>
  <si>
    <t>Production as on Date 14.03.2026</t>
  </si>
  <si>
    <t>NIL</t>
  </si>
  <si>
    <t>Exported as per GO on 14.03.2026</t>
  </si>
  <si>
    <t>01.04.2026 to 14.03.2026</t>
  </si>
  <si>
    <t>M/s Crux Biotech India Pvt Ltd</t>
  </si>
  <si>
    <t>EXPORT OF ENA</t>
  </si>
  <si>
    <t>EXPORT OF ETHANOL/ABSOULTE ALCOHOL/Impure Spirit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</si>
</sst>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Tahoma"/>
      <family val="2"/>
    </font>
    <font>
      <sz val="12"/>
      <name val="Tahoma"/>
      <family val="2"/>
    </font>
    <font>
      <b/>
      <sz val="12"/>
      <name val="Tahoma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top" wrapText="1"/>
    </xf>
    <xf numFmtId="3" fontId="1" fillId="0" borderId="5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3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l.no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sl.no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sl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97"/>
  <sheetViews>
    <sheetView topLeftCell="A91" workbookViewId="0">
      <selection activeCell="B44" sqref="B44"/>
    </sheetView>
  </sheetViews>
  <sheetFormatPr defaultRowHeight="15"/>
  <cols>
    <col min="1" max="1" width="4.140625" style="1" customWidth="1"/>
    <col min="2" max="2" width="37.7109375" style="1" customWidth="1"/>
    <col min="3" max="4" width="15.42578125" style="1" bestFit="1" customWidth="1"/>
    <col min="5" max="7" width="14.28515625" style="1" bestFit="1" customWidth="1"/>
    <col min="8" max="8" width="13.85546875" style="1" bestFit="1" customWidth="1"/>
    <col min="9" max="16384" width="9.140625" style="1"/>
  </cols>
  <sheetData>
    <row r="1" spans="1:8">
      <c r="A1" s="21" t="s">
        <v>1</v>
      </c>
      <c r="B1" s="21"/>
      <c r="C1" s="21"/>
      <c r="D1" s="21"/>
      <c r="E1" s="21"/>
      <c r="F1" s="21"/>
      <c r="G1" s="21"/>
      <c r="H1" s="21"/>
    </row>
    <row r="2" spans="1:8">
      <c r="A2" s="22" t="s">
        <v>2</v>
      </c>
      <c r="B2" s="22"/>
      <c r="C2" s="22"/>
      <c r="D2" s="22"/>
      <c r="E2" s="22"/>
      <c r="F2" s="22"/>
      <c r="G2" s="22"/>
      <c r="H2" s="22"/>
    </row>
    <row r="3" spans="1:8" ht="12.75" customHeight="1">
      <c r="A3" s="23" t="s">
        <v>3</v>
      </c>
      <c r="B3" s="23" t="s">
        <v>4</v>
      </c>
      <c r="C3" s="25" t="s">
        <v>5</v>
      </c>
      <c r="D3" s="25" t="s">
        <v>6</v>
      </c>
      <c r="E3" s="25" t="s">
        <v>7</v>
      </c>
      <c r="F3" s="25" t="s">
        <v>8</v>
      </c>
      <c r="G3" s="25" t="s">
        <v>9</v>
      </c>
      <c r="H3" s="25" t="s">
        <v>10</v>
      </c>
    </row>
    <row r="4" spans="1:8" ht="25.5" customHeight="1">
      <c r="A4" s="23"/>
      <c r="B4" s="24"/>
      <c r="C4" s="26"/>
      <c r="D4" s="26"/>
      <c r="E4" s="26"/>
      <c r="F4" s="26"/>
      <c r="G4" s="26"/>
      <c r="H4" s="26"/>
    </row>
    <row r="5" spans="1:8">
      <c r="A5" s="2"/>
      <c r="B5" s="3"/>
      <c r="C5" s="4"/>
      <c r="D5" s="4"/>
      <c r="E5" s="4"/>
      <c r="F5" s="4"/>
      <c r="G5" s="4"/>
      <c r="H5" s="4"/>
    </row>
    <row r="6" spans="1:8">
      <c r="A6" s="19" t="s">
        <v>11</v>
      </c>
      <c r="B6" s="19"/>
      <c r="C6" s="4"/>
      <c r="D6" s="4"/>
      <c r="E6" s="4"/>
      <c r="F6" s="4"/>
      <c r="G6" s="4"/>
      <c r="H6" s="4"/>
    </row>
    <row r="7" spans="1:8">
      <c r="A7" s="5"/>
      <c r="B7" s="5"/>
      <c r="C7" s="4"/>
      <c r="D7" s="4"/>
      <c r="E7" s="4"/>
      <c r="F7" s="4"/>
      <c r="G7" s="4"/>
      <c r="H7" s="4"/>
    </row>
    <row r="8" spans="1:8" ht="45">
      <c r="A8" s="2">
        <v>1</v>
      </c>
      <c r="B8" s="2" t="s">
        <v>12</v>
      </c>
      <c r="C8" s="6">
        <f>2500000+2500000</f>
        <v>5000000</v>
      </c>
      <c r="D8" s="6">
        <f>C8/1.62</f>
        <v>3086419.7530864198</v>
      </c>
      <c r="E8" s="4">
        <v>237623.38</v>
      </c>
      <c r="F8" s="4">
        <v>2172167.96</v>
      </c>
      <c r="G8" s="4">
        <v>2072167.96</v>
      </c>
      <c r="H8" s="7">
        <f t="shared" ref="H8:H15" si="0">D8-E8-F8</f>
        <v>676628.41308641993</v>
      </c>
    </row>
    <row r="9" spans="1:8" ht="45">
      <c r="A9" s="2"/>
      <c r="B9" s="2" t="s">
        <v>13</v>
      </c>
      <c r="C9" s="6">
        <f>2000000+1944000+1296000</f>
        <v>5240000</v>
      </c>
      <c r="D9" s="6">
        <f t="shared" ref="D9:D28" si="1">C9/1.62</f>
        <v>3234567.9012345676</v>
      </c>
      <c r="E9" s="4">
        <v>165314.48000000001</v>
      </c>
      <c r="F9" s="4">
        <v>2458391.6</v>
      </c>
      <c r="G9" s="4">
        <v>2455455.8199999998</v>
      </c>
      <c r="H9" s="7">
        <f t="shared" si="0"/>
        <v>610861.82123456756</v>
      </c>
    </row>
    <row r="10" spans="1:8" ht="45">
      <c r="A10" s="2"/>
      <c r="B10" s="2" t="s">
        <v>14</v>
      </c>
      <c r="C10" s="6">
        <v>648000</v>
      </c>
      <c r="D10" s="6">
        <f t="shared" si="1"/>
        <v>400000</v>
      </c>
      <c r="E10" s="4">
        <v>0</v>
      </c>
      <c r="F10" s="4">
        <v>0</v>
      </c>
      <c r="G10" s="4">
        <v>0</v>
      </c>
      <c r="H10" s="7">
        <f t="shared" si="0"/>
        <v>400000</v>
      </c>
    </row>
    <row r="11" spans="1:8" ht="45">
      <c r="A11" s="2"/>
      <c r="B11" s="2" t="s">
        <v>15</v>
      </c>
      <c r="C11" s="6">
        <v>648000</v>
      </c>
      <c r="D11" s="6">
        <f t="shared" si="1"/>
        <v>400000</v>
      </c>
      <c r="E11" s="4">
        <v>27619.96</v>
      </c>
      <c r="F11" s="4">
        <v>12.6</v>
      </c>
      <c r="G11" s="4"/>
      <c r="H11" s="7">
        <f t="shared" si="0"/>
        <v>372367.44</v>
      </c>
    </row>
    <row r="12" spans="1:8" ht="45">
      <c r="A12" s="2"/>
      <c r="B12" s="2" t="s">
        <v>16</v>
      </c>
      <c r="C12" s="6">
        <v>1296000</v>
      </c>
      <c r="D12" s="6">
        <f t="shared" si="1"/>
        <v>800000</v>
      </c>
      <c r="E12" s="4">
        <v>0</v>
      </c>
      <c r="F12" s="4">
        <v>0</v>
      </c>
      <c r="G12" s="4">
        <v>0</v>
      </c>
      <c r="H12" s="7">
        <f t="shared" si="0"/>
        <v>800000</v>
      </c>
    </row>
    <row r="13" spans="1:8" ht="45">
      <c r="A13" s="2"/>
      <c r="B13" s="2" t="s">
        <v>17</v>
      </c>
      <c r="C13" s="6">
        <v>648000</v>
      </c>
      <c r="D13" s="6">
        <f t="shared" si="1"/>
        <v>400000</v>
      </c>
      <c r="E13" s="4">
        <v>0</v>
      </c>
      <c r="F13" s="4">
        <v>0</v>
      </c>
      <c r="G13" s="4">
        <v>0</v>
      </c>
      <c r="H13" s="7">
        <f t="shared" si="0"/>
        <v>400000</v>
      </c>
    </row>
    <row r="14" spans="1:8" ht="45">
      <c r="A14" s="2"/>
      <c r="B14" s="2" t="s">
        <v>18</v>
      </c>
      <c r="C14" s="6">
        <f>900000+1296000</f>
        <v>2196000</v>
      </c>
      <c r="D14" s="6">
        <f t="shared" si="1"/>
        <v>1355555.5555555555</v>
      </c>
      <c r="E14" s="4">
        <v>0</v>
      </c>
      <c r="F14" s="4">
        <v>500000</v>
      </c>
      <c r="G14" s="4">
        <v>500000</v>
      </c>
      <c r="H14" s="7">
        <f t="shared" si="0"/>
        <v>855555.5555555555</v>
      </c>
    </row>
    <row r="15" spans="1:8" ht="45">
      <c r="A15" s="2"/>
      <c r="B15" s="2" t="s">
        <v>19</v>
      </c>
      <c r="C15" s="6">
        <v>194400</v>
      </c>
      <c r="D15" s="6">
        <f t="shared" si="1"/>
        <v>119999.99999999999</v>
      </c>
      <c r="E15" s="4">
        <v>0</v>
      </c>
      <c r="F15" s="4">
        <v>0</v>
      </c>
      <c r="G15" s="4">
        <v>0</v>
      </c>
      <c r="H15" s="7">
        <f t="shared" si="0"/>
        <v>119999.99999999999</v>
      </c>
    </row>
    <row r="16" spans="1:8">
      <c r="A16" s="2"/>
      <c r="B16" s="2"/>
      <c r="C16" s="6"/>
      <c r="D16" s="6"/>
      <c r="E16" s="4"/>
      <c r="F16" s="4"/>
      <c r="G16" s="4"/>
      <c r="H16" s="4"/>
    </row>
    <row r="17" spans="1:8" ht="30">
      <c r="A17" s="2">
        <v>2</v>
      </c>
      <c r="B17" s="2" t="s">
        <v>20</v>
      </c>
      <c r="C17" s="6">
        <v>3200000</v>
      </c>
      <c r="D17" s="6">
        <f t="shared" si="1"/>
        <v>1975308.6419753085</v>
      </c>
      <c r="E17" s="4">
        <v>48647</v>
      </c>
      <c r="F17" s="4">
        <v>100000</v>
      </c>
      <c r="G17" s="4">
        <v>100000</v>
      </c>
      <c r="H17" s="7">
        <f>D17-E17-F17</f>
        <v>1826661.6419753085</v>
      </c>
    </row>
    <row r="18" spans="1:8" ht="45">
      <c r="A18" s="2"/>
      <c r="B18" s="2" t="s">
        <v>21</v>
      </c>
      <c r="C18" s="6">
        <v>6200000</v>
      </c>
      <c r="D18" s="6">
        <f t="shared" si="1"/>
        <v>3827160.4938271604</v>
      </c>
      <c r="E18" s="4">
        <v>0</v>
      </c>
      <c r="F18" s="4">
        <v>400000</v>
      </c>
      <c r="G18" s="4">
        <v>300000</v>
      </c>
      <c r="H18" s="7">
        <f>D18-E18-F18</f>
        <v>3427160.4938271604</v>
      </c>
    </row>
    <row r="19" spans="1:8">
      <c r="A19" s="2"/>
      <c r="B19" s="2"/>
      <c r="C19" s="6"/>
      <c r="D19" s="6"/>
      <c r="E19" s="4"/>
      <c r="F19" s="4"/>
      <c r="G19" s="4"/>
      <c r="H19" s="4"/>
    </row>
    <row r="20" spans="1:8">
      <c r="A20" s="2">
        <v>3</v>
      </c>
      <c r="B20" s="2" t="s">
        <v>22</v>
      </c>
      <c r="C20" s="6">
        <v>16998400</v>
      </c>
      <c r="D20" s="6">
        <f t="shared" si="1"/>
        <v>10492839.50617284</v>
      </c>
      <c r="E20" s="4">
        <v>136596.9</v>
      </c>
      <c r="F20" s="4">
        <v>200000</v>
      </c>
      <c r="G20" s="4">
        <v>200000</v>
      </c>
      <c r="H20" s="7">
        <f>D20-E20-F20</f>
        <v>10156242.606172839</v>
      </c>
    </row>
    <row r="21" spans="1:8">
      <c r="A21" s="2"/>
      <c r="B21" s="2"/>
      <c r="C21" s="6"/>
      <c r="D21" s="6"/>
      <c r="E21" s="4"/>
      <c r="F21" s="4"/>
      <c r="G21" s="4"/>
      <c r="H21" s="4"/>
    </row>
    <row r="22" spans="1:8" ht="30">
      <c r="A22" s="2">
        <v>4</v>
      </c>
      <c r="B22" s="2" t="s">
        <v>23</v>
      </c>
      <c r="C22" s="6">
        <v>3888000</v>
      </c>
      <c r="D22" s="6">
        <f t="shared" si="1"/>
        <v>2400000</v>
      </c>
      <c r="E22" s="4">
        <v>56583.48</v>
      </c>
      <c r="F22" s="4">
        <v>1437560</v>
      </c>
      <c r="G22" s="4">
        <v>1237560</v>
      </c>
      <c r="H22" s="7">
        <f>D22-E22-F22</f>
        <v>905856.52</v>
      </c>
    </row>
    <row r="23" spans="1:8">
      <c r="A23" s="2"/>
      <c r="B23" s="2"/>
      <c r="C23" s="6"/>
      <c r="D23" s="6"/>
      <c r="E23" s="4"/>
      <c r="F23" s="4"/>
      <c r="G23" s="4"/>
      <c r="H23" s="4"/>
    </row>
    <row r="24" spans="1:8" ht="30">
      <c r="A24" s="2">
        <v>5</v>
      </c>
      <c r="B24" s="2" t="s">
        <v>24</v>
      </c>
      <c r="C24" s="6">
        <v>3888000</v>
      </c>
      <c r="D24" s="6">
        <f t="shared" si="1"/>
        <v>2400000</v>
      </c>
      <c r="E24" s="4">
        <v>3276</v>
      </c>
      <c r="F24" s="4">
        <v>1500000</v>
      </c>
      <c r="G24" s="4">
        <v>1500000</v>
      </c>
      <c r="H24" s="7">
        <f>D24-E24-F24</f>
        <v>896724</v>
      </c>
    </row>
    <row r="25" spans="1:8">
      <c r="A25" s="2"/>
      <c r="B25" s="8"/>
      <c r="C25" s="6"/>
      <c r="D25" s="6"/>
      <c r="E25" s="4"/>
      <c r="F25" s="4"/>
      <c r="G25" s="4"/>
      <c r="H25" s="4"/>
    </row>
    <row r="26" spans="1:8" ht="45">
      <c r="A26" s="2"/>
      <c r="B26" s="2" t="s">
        <v>25</v>
      </c>
      <c r="C26" s="6">
        <v>7776000</v>
      </c>
      <c r="D26" s="6">
        <f t="shared" si="1"/>
        <v>4800000</v>
      </c>
      <c r="E26" s="4">
        <v>4217.22</v>
      </c>
      <c r="F26" s="4">
        <v>2665120</v>
      </c>
      <c r="G26" s="4">
        <v>2665120</v>
      </c>
      <c r="H26" s="7">
        <f>D26-E26-F26</f>
        <v>2130662.7800000003</v>
      </c>
    </row>
    <row r="27" spans="1:8">
      <c r="A27" s="2"/>
      <c r="B27" s="2"/>
      <c r="C27" s="6"/>
      <c r="D27" s="6"/>
      <c r="E27" s="4"/>
      <c r="F27" s="4"/>
      <c r="G27" s="4"/>
      <c r="H27" s="4"/>
    </row>
    <row r="28" spans="1:8" ht="30">
      <c r="A28" s="2"/>
      <c r="B28" s="2" t="s">
        <v>26</v>
      </c>
      <c r="C28" s="6">
        <v>1944000</v>
      </c>
      <c r="D28" s="6">
        <f t="shared" si="1"/>
        <v>1200000</v>
      </c>
      <c r="E28" s="4">
        <v>0</v>
      </c>
      <c r="F28" s="4">
        <v>0</v>
      </c>
      <c r="G28" s="4">
        <v>0</v>
      </c>
      <c r="H28" s="7">
        <f>D28-E28-F28</f>
        <v>1200000</v>
      </c>
    </row>
    <row r="29" spans="1:8">
      <c r="A29" s="2"/>
      <c r="B29" s="2"/>
      <c r="C29" s="4"/>
      <c r="D29" s="4"/>
      <c r="E29" s="4"/>
      <c r="F29" s="4"/>
      <c r="G29" s="4"/>
      <c r="H29" s="4"/>
    </row>
    <row r="30" spans="1:8">
      <c r="A30" s="2"/>
      <c r="B30" s="5" t="s">
        <v>27</v>
      </c>
      <c r="C30" s="4"/>
      <c r="D30" s="4"/>
      <c r="E30" s="4"/>
      <c r="F30" s="4"/>
      <c r="G30" s="4"/>
      <c r="H30" s="4"/>
    </row>
    <row r="31" spans="1:8">
      <c r="A31" s="2"/>
      <c r="B31" s="2"/>
      <c r="C31" s="4"/>
      <c r="D31" s="4"/>
      <c r="E31" s="4"/>
      <c r="F31" s="4"/>
      <c r="G31" s="4"/>
      <c r="H31" s="4"/>
    </row>
    <row r="32" spans="1:8">
      <c r="A32" s="3">
        <v>6</v>
      </c>
      <c r="B32" s="9" t="s">
        <v>28</v>
      </c>
      <c r="C32" s="6">
        <v>10000000</v>
      </c>
      <c r="D32" s="6">
        <f t="shared" ref="D32" si="2">C32/1.62</f>
        <v>6172839.5061728396</v>
      </c>
      <c r="E32" s="4">
        <v>38015.129999999997</v>
      </c>
      <c r="F32" s="4">
        <v>201575</v>
      </c>
      <c r="G32" s="4">
        <v>201575</v>
      </c>
      <c r="H32" s="7">
        <f>D32-E32-F32</f>
        <v>5933249.3761728397</v>
      </c>
    </row>
    <row r="33" spans="1:8">
      <c r="A33" s="3"/>
      <c r="B33" s="9"/>
      <c r="C33" s="6"/>
      <c r="D33" s="6"/>
      <c r="E33" s="4"/>
      <c r="F33" s="4"/>
      <c r="G33" s="4"/>
      <c r="H33" s="4"/>
    </row>
    <row r="34" spans="1:8">
      <c r="A34" s="3">
        <v>7</v>
      </c>
      <c r="B34" s="9" t="s">
        <v>29</v>
      </c>
      <c r="C34" s="6">
        <v>8890000</v>
      </c>
      <c r="D34" s="6">
        <f t="shared" ref="D34" si="3">C34/1.62</f>
        <v>5487654.3209876539</v>
      </c>
      <c r="E34" s="4">
        <v>289387.2</v>
      </c>
      <c r="F34" s="4">
        <v>300000</v>
      </c>
      <c r="G34" s="4">
        <v>300000</v>
      </c>
      <c r="H34" s="7">
        <f>D34-E34-F34</f>
        <v>4898267.1209876537</v>
      </c>
    </row>
    <row r="35" spans="1:8">
      <c r="A35" s="3"/>
      <c r="B35" s="9"/>
      <c r="C35" s="6"/>
      <c r="D35" s="6"/>
      <c r="E35" s="4"/>
      <c r="F35" s="4"/>
      <c r="G35" s="4"/>
      <c r="H35" s="4"/>
    </row>
    <row r="36" spans="1:8" ht="30">
      <c r="A36" s="3"/>
      <c r="B36" s="9" t="s">
        <v>30</v>
      </c>
      <c r="C36" s="6">
        <v>7776000</v>
      </c>
      <c r="D36" s="6">
        <f t="shared" ref="D36" si="4">C36/1.62</f>
        <v>4800000</v>
      </c>
      <c r="E36" s="4">
        <v>0</v>
      </c>
      <c r="F36" s="4">
        <v>333276</v>
      </c>
      <c r="G36" s="4">
        <v>265000</v>
      </c>
      <c r="H36" s="7">
        <f>D36-E36-F36</f>
        <v>4466724</v>
      </c>
    </row>
    <row r="37" spans="1:8">
      <c r="A37" s="3"/>
      <c r="B37" s="9"/>
      <c r="C37" s="6"/>
      <c r="D37" s="6"/>
      <c r="E37" s="4"/>
      <c r="F37" s="4"/>
      <c r="G37" s="4"/>
      <c r="H37" s="4"/>
    </row>
    <row r="38" spans="1:8" ht="30">
      <c r="A38" s="3">
        <v>8</v>
      </c>
      <c r="B38" s="9" t="s">
        <v>31</v>
      </c>
      <c r="C38" s="6">
        <v>17430000</v>
      </c>
      <c r="D38" s="6">
        <f t="shared" ref="D38" si="5">C38/1.62</f>
        <v>10759259.259259259</v>
      </c>
      <c r="E38" s="4">
        <v>559640.81999999995</v>
      </c>
      <c r="F38" s="4">
        <v>4406768.5</v>
      </c>
      <c r="G38" s="4">
        <v>4307082.2699999996</v>
      </c>
      <c r="H38" s="7">
        <f>D38-E38-F38</f>
        <v>5792849.939259259</v>
      </c>
    </row>
    <row r="39" spans="1:8">
      <c r="A39" s="3"/>
      <c r="B39" s="9"/>
      <c r="C39" s="6"/>
      <c r="D39" s="6"/>
      <c r="E39" s="4"/>
      <c r="F39" s="4"/>
      <c r="G39" s="4"/>
      <c r="H39" s="4"/>
    </row>
    <row r="40" spans="1:8" ht="30">
      <c r="A40" s="3">
        <v>9</v>
      </c>
      <c r="B40" s="9" t="s">
        <v>32</v>
      </c>
      <c r="C40" s="6">
        <v>3888000</v>
      </c>
      <c r="D40" s="6">
        <f t="shared" ref="D40" si="6">C40/1.62</f>
        <v>2400000</v>
      </c>
      <c r="E40" s="4">
        <v>42326.67</v>
      </c>
      <c r="F40" s="4">
        <v>1358591.3</v>
      </c>
      <c r="G40" s="4">
        <v>1308591.3</v>
      </c>
      <c r="H40" s="7">
        <f>D40-E40-F40</f>
        <v>999082.03</v>
      </c>
    </row>
    <row r="41" spans="1:8">
      <c r="A41" s="3"/>
      <c r="B41" s="9"/>
      <c r="C41" s="6"/>
      <c r="D41" s="6"/>
      <c r="E41" s="4"/>
      <c r="F41" s="4"/>
      <c r="G41" s="4"/>
      <c r="H41" s="4"/>
    </row>
    <row r="42" spans="1:8" ht="30">
      <c r="A42" s="3"/>
      <c r="B42" s="9" t="s">
        <v>33</v>
      </c>
      <c r="C42" s="6">
        <v>524880</v>
      </c>
      <c r="D42" s="6">
        <f>C42/1.62</f>
        <v>324000</v>
      </c>
      <c r="E42" s="4">
        <v>0</v>
      </c>
      <c r="F42" s="4">
        <v>0</v>
      </c>
      <c r="G42" s="4">
        <v>0</v>
      </c>
      <c r="H42" s="7">
        <f>D42-E42-F42</f>
        <v>324000</v>
      </c>
    </row>
    <row r="43" spans="1:8">
      <c r="A43" s="3"/>
      <c r="B43" s="9"/>
      <c r="C43" s="6"/>
      <c r="D43" s="6"/>
      <c r="E43" s="4"/>
      <c r="F43" s="4"/>
      <c r="G43" s="4"/>
      <c r="H43" s="4"/>
    </row>
    <row r="44" spans="1:8" ht="45">
      <c r="A44" s="3">
        <v>10</v>
      </c>
      <c r="B44" s="9" t="s">
        <v>34</v>
      </c>
      <c r="C44" s="6">
        <v>3110400</v>
      </c>
      <c r="D44" s="6">
        <f>C44/1.62</f>
        <v>1919999.9999999998</v>
      </c>
      <c r="E44" s="4">
        <v>135785</v>
      </c>
      <c r="F44" s="4">
        <v>1406300</v>
      </c>
      <c r="G44" s="4">
        <v>1306300</v>
      </c>
      <c r="H44" s="7">
        <f>D44-E44-F44</f>
        <v>377914.99999999977</v>
      </c>
    </row>
    <row r="45" spans="1:8">
      <c r="A45" s="3"/>
      <c r="B45" s="9"/>
      <c r="C45" s="6"/>
      <c r="D45" s="6"/>
      <c r="E45" s="4"/>
      <c r="F45" s="4"/>
      <c r="G45" s="4"/>
      <c r="H45" s="4"/>
    </row>
    <row r="46" spans="1:8" ht="60">
      <c r="A46" s="3">
        <v>11</v>
      </c>
      <c r="B46" s="9" t="s">
        <v>35</v>
      </c>
      <c r="C46" s="6">
        <v>7800000</v>
      </c>
      <c r="D46" s="6">
        <f>C46/1.62</f>
        <v>4814814.8148148144</v>
      </c>
      <c r="E46" s="4">
        <f>14308.15+32573.61</f>
        <v>46881.760000000002</v>
      </c>
      <c r="F46" s="4">
        <f>1200000+12600</f>
        <v>1212600</v>
      </c>
      <c r="G46" s="4">
        <v>1112600</v>
      </c>
      <c r="H46" s="7">
        <f>D46-E46-F46</f>
        <v>3555333.0548148146</v>
      </c>
    </row>
    <row r="47" spans="1:8">
      <c r="A47" s="3"/>
      <c r="B47" s="9"/>
      <c r="C47" s="6"/>
      <c r="D47" s="6"/>
      <c r="E47" s="4"/>
      <c r="F47" s="4"/>
      <c r="G47" s="4"/>
      <c r="H47" s="4"/>
    </row>
    <row r="48" spans="1:8" ht="45">
      <c r="A48" s="3"/>
      <c r="B48" s="9" t="s">
        <v>36</v>
      </c>
      <c r="C48" s="10">
        <v>1560000</v>
      </c>
      <c r="D48" s="6">
        <f>C48/1.62</f>
        <v>962962.96296296292</v>
      </c>
      <c r="E48" s="4">
        <v>41454.93</v>
      </c>
      <c r="F48" s="4">
        <v>180000</v>
      </c>
      <c r="G48" s="4">
        <v>180000</v>
      </c>
      <c r="H48" s="7">
        <f>D48-E48-F48</f>
        <v>741508.03296296287</v>
      </c>
    </row>
    <row r="49" spans="1:8">
      <c r="A49" s="3"/>
      <c r="B49" s="9"/>
      <c r="C49" s="6"/>
      <c r="D49" s="6"/>
      <c r="E49" s="4"/>
      <c r="F49" s="4"/>
      <c r="G49" s="4"/>
      <c r="H49" s="4"/>
    </row>
    <row r="50" spans="1:8" ht="45">
      <c r="A50" s="3"/>
      <c r="B50" s="9" t="s">
        <v>37</v>
      </c>
      <c r="C50" s="6">
        <v>27216000</v>
      </c>
      <c r="D50" s="6">
        <f>C50/1.62</f>
        <v>16800000</v>
      </c>
      <c r="E50" s="4">
        <v>0</v>
      </c>
      <c r="F50" s="4">
        <v>7293907.5499999998</v>
      </c>
      <c r="G50" s="4">
        <v>7234057.5499999998</v>
      </c>
      <c r="H50" s="7">
        <f>D50-E50-F50</f>
        <v>9506092.4499999993</v>
      </c>
    </row>
    <row r="51" spans="1:8">
      <c r="A51" s="3"/>
      <c r="B51" s="9"/>
      <c r="C51" s="6"/>
      <c r="D51" s="6"/>
      <c r="E51" s="4"/>
      <c r="F51" s="4"/>
      <c r="G51" s="4"/>
      <c r="H51" s="4"/>
    </row>
    <row r="52" spans="1:8" ht="45">
      <c r="A52" s="3"/>
      <c r="B52" s="9" t="s">
        <v>38</v>
      </c>
      <c r="C52" s="6">
        <v>7800000</v>
      </c>
      <c r="D52" s="6">
        <f>C52/1.62</f>
        <v>4814814.8148148144</v>
      </c>
      <c r="E52" s="4">
        <v>195492.71</v>
      </c>
      <c r="F52" s="4">
        <v>1611340</v>
      </c>
      <c r="G52" s="4">
        <v>1611340</v>
      </c>
      <c r="H52" s="7">
        <f>D52-E52-F52</f>
        <v>3007982.1048148144</v>
      </c>
    </row>
    <row r="53" spans="1:8">
      <c r="A53" s="3"/>
      <c r="B53" s="9"/>
      <c r="C53" s="6"/>
      <c r="D53" s="6"/>
      <c r="E53" s="4"/>
      <c r="F53" s="4"/>
      <c r="G53" s="4"/>
      <c r="H53" s="4"/>
    </row>
    <row r="54" spans="1:8" ht="45">
      <c r="A54" s="3"/>
      <c r="B54" s="9" t="s">
        <v>39</v>
      </c>
      <c r="C54" s="10">
        <v>7800000</v>
      </c>
      <c r="D54" s="6">
        <f>C54/1.62</f>
        <v>4814814.8148148144</v>
      </c>
      <c r="E54" s="4">
        <f>32772.92+24135.65</f>
        <v>56908.57</v>
      </c>
      <c r="F54" s="4">
        <v>1301890</v>
      </c>
      <c r="G54" s="4">
        <v>900000</v>
      </c>
      <c r="H54" s="7">
        <f>D54-E54-F54</f>
        <v>3456016.2448148141</v>
      </c>
    </row>
    <row r="55" spans="1:8">
      <c r="A55" s="3"/>
      <c r="B55" s="9"/>
      <c r="C55" s="6"/>
      <c r="D55" s="6"/>
      <c r="E55" s="4"/>
      <c r="F55" s="4"/>
      <c r="G55" s="4"/>
      <c r="H55" s="4"/>
    </row>
    <row r="56" spans="1:8" ht="45">
      <c r="A56" s="3"/>
      <c r="B56" s="9" t="s">
        <v>40</v>
      </c>
      <c r="C56" s="6">
        <v>23300000</v>
      </c>
      <c r="D56" s="6">
        <f>C56/1.62</f>
        <v>14382716.049382715</v>
      </c>
      <c r="E56" s="4">
        <f>440210.13+3423.26+42954.63</f>
        <v>486588.02</v>
      </c>
      <c r="F56" s="4">
        <v>6500000</v>
      </c>
      <c r="G56" s="4">
        <v>6000000</v>
      </c>
      <c r="H56" s="7">
        <f>D56-E56-F56</f>
        <v>7396128.029382715</v>
      </c>
    </row>
    <row r="57" spans="1:8">
      <c r="A57" s="3"/>
      <c r="B57" s="9"/>
      <c r="C57" s="6"/>
      <c r="D57" s="6"/>
      <c r="E57" s="4"/>
      <c r="F57" s="4"/>
      <c r="G57" s="4"/>
      <c r="H57" s="4"/>
    </row>
    <row r="58" spans="1:8" ht="45">
      <c r="A58" s="3"/>
      <c r="B58" s="9" t="s">
        <v>41</v>
      </c>
      <c r="C58" s="6">
        <v>7800000</v>
      </c>
      <c r="D58" s="6">
        <f>C58/1.62</f>
        <v>4814814.8148148144</v>
      </c>
      <c r="E58" s="4">
        <v>0</v>
      </c>
      <c r="F58" s="4">
        <v>0</v>
      </c>
      <c r="G58" s="4">
        <v>0</v>
      </c>
      <c r="H58" s="7">
        <f>D58-E58-F58</f>
        <v>4814814.8148148144</v>
      </c>
    </row>
    <row r="59" spans="1:8">
      <c r="A59" s="3"/>
      <c r="B59" s="9"/>
      <c r="C59" s="6"/>
      <c r="D59" s="6"/>
      <c r="E59" s="4"/>
      <c r="F59" s="4"/>
      <c r="G59" s="4"/>
      <c r="H59" s="4"/>
    </row>
    <row r="60" spans="1:8">
      <c r="A60" s="3">
        <v>12</v>
      </c>
      <c r="B60" s="9" t="s">
        <v>42</v>
      </c>
      <c r="C60" s="6">
        <v>18000000</v>
      </c>
      <c r="D60" s="6">
        <f>C60/1.62</f>
        <v>11111111.11111111</v>
      </c>
      <c r="E60" s="4">
        <v>248505.78</v>
      </c>
      <c r="F60" s="4">
        <v>5233885.2</v>
      </c>
      <c r="G60" s="4">
        <v>5113885.2</v>
      </c>
      <c r="H60" s="7">
        <f>D60-E60-F60</f>
        <v>5628720.1311111106</v>
      </c>
    </row>
    <row r="61" spans="1:8">
      <c r="A61" s="3"/>
      <c r="B61" s="9"/>
      <c r="C61" s="6"/>
      <c r="D61" s="6"/>
      <c r="E61" s="4"/>
      <c r="F61" s="4"/>
      <c r="G61" s="4"/>
      <c r="H61" s="4"/>
    </row>
    <row r="62" spans="1:8" ht="45">
      <c r="A62" s="3"/>
      <c r="B62" s="9" t="s">
        <v>43</v>
      </c>
      <c r="C62" s="6">
        <v>2000000</v>
      </c>
      <c r="D62" s="6">
        <f>C62/1.62</f>
        <v>1234567.9012345679</v>
      </c>
      <c r="E62" s="4">
        <v>0</v>
      </c>
      <c r="F62" s="4">
        <v>540000</v>
      </c>
      <c r="G62" s="4">
        <v>540000</v>
      </c>
      <c r="H62" s="7">
        <f>D62-E62-F62</f>
        <v>694567.90123456786</v>
      </c>
    </row>
    <row r="63" spans="1:8">
      <c r="A63" s="3"/>
      <c r="B63" s="9"/>
      <c r="C63" s="6"/>
      <c r="D63" s="6"/>
      <c r="E63" s="4"/>
      <c r="F63" s="4"/>
      <c r="G63" s="4"/>
      <c r="H63" s="4"/>
    </row>
    <row r="64" spans="1:8" ht="45">
      <c r="A64" s="3"/>
      <c r="B64" s="9" t="s">
        <v>44</v>
      </c>
      <c r="C64" s="6">
        <v>5832000</v>
      </c>
      <c r="D64" s="6">
        <f>C64/1.62</f>
        <v>3599999.9999999995</v>
      </c>
      <c r="E64" s="4">
        <v>0</v>
      </c>
      <c r="F64" s="4">
        <v>0</v>
      </c>
      <c r="G64" s="4">
        <v>0</v>
      </c>
      <c r="H64" s="7">
        <f>D64-E64-F64</f>
        <v>3599999.9999999995</v>
      </c>
    </row>
    <row r="65" spans="1:8">
      <c r="A65" s="3"/>
      <c r="B65" s="9"/>
      <c r="C65" s="6"/>
      <c r="D65" s="6"/>
      <c r="E65" s="4"/>
      <c r="F65" s="4"/>
      <c r="G65" s="4"/>
      <c r="H65" s="4"/>
    </row>
    <row r="66" spans="1:8" ht="45">
      <c r="A66" s="3">
        <v>13</v>
      </c>
      <c r="B66" s="9" t="s">
        <v>45</v>
      </c>
      <c r="C66" s="6">
        <v>3110400</v>
      </c>
      <c r="D66" s="6">
        <f>C66/1.62</f>
        <v>1919999.9999999998</v>
      </c>
      <c r="E66" s="4">
        <v>142129.11900000001</v>
      </c>
      <c r="F66" s="4">
        <v>525000</v>
      </c>
      <c r="G66" s="4">
        <v>525000</v>
      </c>
      <c r="H66" s="7">
        <f>D66-E66-F66</f>
        <v>1252870.8809999998</v>
      </c>
    </row>
    <row r="67" spans="1:8">
      <c r="A67" s="3"/>
      <c r="B67" s="9"/>
      <c r="C67" s="6"/>
      <c r="D67" s="6"/>
      <c r="E67" s="4"/>
      <c r="F67" s="4"/>
      <c r="G67" s="4"/>
      <c r="H67" s="4"/>
    </row>
    <row r="68" spans="1:8" ht="30">
      <c r="A68" s="3"/>
      <c r="B68" s="9" t="s">
        <v>46</v>
      </c>
      <c r="C68" s="6">
        <v>777600</v>
      </c>
      <c r="D68" s="6">
        <f>C68/1.62</f>
        <v>479999.99999999994</v>
      </c>
      <c r="E68" s="4">
        <v>876.33</v>
      </c>
      <c r="F68" s="4">
        <v>175000</v>
      </c>
      <c r="G68" s="4">
        <v>175000</v>
      </c>
      <c r="H68" s="7">
        <f>D68-E68-F68</f>
        <v>304123.66999999993</v>
      </c>
    </row>
    <row r="69" spans="1:8">
      <c r="A69" s="3"/>
      <c r="B69" s="9"/>
      <c r="C69" s="6"/>
      <c r="D69" s="6"/>
      <c r="E69" s="4"/>
      <c r="F69" s="4"/>
      <c r="G69" s="4"/>
      <c r="H69" s="4"/>
    </row>
    <row r="70" spans="1:8" ht="45">
      <c r="A70" s="3"/>
      <c r="B70" s="9" t="s">
        <v>47</v>
      </c>
      <c r="C70" s="6">
        <v>6376320</v>
      </c>
      <c r="D70" s="6">
        <f>C70/1.62</f>
        <v>3935999.9999999995</v>
      </c>
      <c r="E70" s="4">
        <v>184856.29</v>
      </c>
      <c r="F70" s="4">
        <v>2370160</v>
      </c>
      <c r="G70" s="4">
        <v>2315120</v>
      </c>
      <c r="H70" s="7">
        <f>D70-E70-F70</f>
        <v>1380983.7099999995</v>
      </c>
    </row>
    <row r="71" spans="1:8">
      <c r="A71" s="3"/>
      <c r="B71" s="9"/>
      <c r="C71" s="6"/>
      <c r="D71" s="6"/>
      <c r="E71" s="4"/>
      <c r="F71" s="4"/>
      <c r="G71" s="4"/>
      <c r="H71" s="4"/>
    </row>
    <row r="72" spans="1:8" ht="45">
      <c r="A72" s="3"/>
      <c r="B72" s="9" t="s">
        <v>48</v>
      </c>
      <c r="C72" s="6">
        <v>777600</v>
      </c>
      <c r="D72" s="6">
        <f>C72/1.62</f>
        <v>479999.99999999994</v>
      </c>
      <c r="E72" s="4">
        <v>0</v>
      </c>
      <c r="F72" s="4">
        <v>0</v>
      </c>
      <c r="G72" s="4">
        <v>0</v>
      </c>
      <c r="H72" s="7">
        <f>D72-E72-F72</f>
        <v>479999.99999999994</v>
      </c>
    </row>
    <row r="73" spans="1:8">
      <c r="A73" s="3"/>
      <c r="B73" s="9"/>
      <c r="C73" s="4"/>
      <c r="D73" s="4"/>
      <c r="E73" s="4"/>
      <c r="F73" s="4"/>
      <c r="G73" s="4"/>
      <c r="H73" s="4"/>
    </row>
    <row r="74" spans="1:8">
      <c r="A74" s="20" t="s">
        <v>49</v>
      </c>
      <c r="B74" s="20"/>
      <c r="C74" s="4"/>
      <c r="D74" s="4"/>
      <c r="E74" s="4"/>
      <c r="F74" s="4"/>
      <c r="G74" s="4"/>
      <c r="H74" s="7"/>
    </row>
    <row r="75" spans="1:8">
      <c r="A75" s="2"/>
      <c r="B75" s="2"/>
      <c r="C75" s="4"/>
      <c r="D75" s="4"/>
      <c r="E75" s="4"/>
      <c r="F75" s="4"/>
      <c r="G75" s="4"/>
      <c r="H75" s="4"/>
    </row>
    <row r="76" spans="1:8">
      <c r="A76" s="2">
        <v>14</v>
      </c>
      <c r="B76" s="2" t="s">
        <v>50</v>
      </c>
      <c r="C76" s="6">
        <v>7665600</v>
      </c>
      <c r="D76" s="6">
        <f>C76/1.62</f>
        <v>4731851.8518518517</v>
      </c>
      <c r="E76" s="4">
        <v>113029.43</v>
      </c>
      <c r="F76" s="4">
        <v>540000</v>
      </c>
      <c r="G76" s="4">
        <v>540000</v>
      </c>
      <c r="H76" s="7">
        <f>D76-E76-F76</f>
        <v>4078822.421851852</v>
      </c>
    </row>
    <row r="77" spans="1:8">
      <c r="A77" s="2"/>
      <c r="B77" s="2"/>
      <c r="C77" s="6"/>
      <c r="D77" s="6"/>
      <c r="E77" s="4"/>
      <c r="F77" s="4"/>
      <c r="G77" s="4"/>
      <c r="H77" s="4"/>
    </row>
    <row r="78" spans="1:8" ht="45">
      <c r="A78" s="2">
        <v>15</v>
      </c>
      <c r="B78" s="2" t="s">
        <v>51</v>
      </c>
      <c r="C78" s="6">
        <v>19245200</v>
      </c>
      <c r="D78" s="6">
        <f>C78/1.62</f>
        <v>11879753.086419752</v>
      </c>
      <c r="E78" s="4">
        <v>260522.7</v>
      </c>
      <c r="F78" s="4">
        <v>3432760</v>
      </c>
      <c r="G78" s="4">
        <v>3212600</v>
      </c>
      <c r="H78" s="7">
        <f>D78-E78-F78</f>
        <v>8186470.3864197526</v>
      </c>
    </row>
    <row r="79" spans="1:8">
      <c r="A79" s="2"/>
      <c r="B79" s="2"/>
      <c r="C79" s="6"/>
      <c r="D79" s="6"/>
      <c r="E79" s="4"/>
      <c r="F79" s="4"/>
      <c r="G79" s="4"/>
      <c r="H79" s="4"/>
    </row>
    <row r="80" spans="1:8" ht="45">
      <c r="A80" s="2">
        <v>16</v>
      </c>
      <c r="B80" s="2" t="s">
        <v>52</v>
      </c>
      <c r="C80" s="6">
        <v>3110400</v>
      </c>
      <c r="D80" s="6">
        <f>C80/1.62</f>
        <v>1919999.9999999998</v>
      </c>
      <c r="E80" s="4">
        <v>0</v>
      </c>
      <c r="F80" s="4">
        <v>0</v>
      </c>
      <c r="G80" s="4">
        <v>0</v>
      </c>
      <c r="H80" s="7">
        <f>D80-E80-F80</f>
        <v>1919999.9999999998</v>
      </c>
    </row>
    <row r="81" spans="1:8">
      <c r="A81" s="2"/>
      <c r="B81" s="2"/>
      <c r="C81" s="6"/>
      <c r="D81" s="6"/>
      <c r="E81" s="4"/>
      <c r="F81" s="4"/>
      <c r="G81" s="4"/>
      <c r="H81" s="4"/>
    </row>
    <row r="82" spans="1:8" ht="45">
      <c r="A82" s="2">
        <v>17</v>
      </c>
      <c r="B82" s="2" t="s">
        <v>53</v>
      </c>
      <c r="C82" s="6">
        <v>4536000</v>
      </c>
      <c r="D82" s="6">
        <f>C82/1.62</f>
        <v>2800000</v>
      </c>
      <c r="E82" s="4">
        <v>446835</v>
      </c>
      <c r="F82" s="4">
        <v>1700000</v>
      </c>
      <c r="G82" s="4">
        <v>1600000</v>
      </c>
      <c r="H82" s="7">
        <f>D82-E82-F82</f>
        <v>653165</v>
      </c>
    </row>
    <row r="83" spans="1:8" ht="45">
      <c r="A83" s="2"/>
      <c r="B83" s="2" t="s">
        <v>54</v>
      </c>
      <c r="C83" s="6">
        <v>1944000</v>
      </c>
      <c r="D83" s="6">
        <f>C83/1.62</f>
        <v>1200000</v>
      </c>
      <c r="E83" s="4">
        <v>0</v>
      </c>
      <c r="F83" s="4">
        <v>0</v>
      </c>
      <c r="G83" s="4">
        <v>0</v>
      </c>
      <c r="H83" s="7">
        <f>D83-E83-F83</f>
        <v>1200000</v>
      </c>
    </row>
    <row r="84" spans="1:8">
      <c r="A84" s="2"/>
      <c r="B84" s="2"/>
      <c r="C84" s="6"/>
      <c r="D84" s="6"/>
      <c r="E84" s="4"/>
      <c r="F84" s="4"/>
      <c r="G84" s="4"/>
      <c r="H84" s="4"/>
    </row>
    <row r="85" spans="1:8">
      <c r="A85" s="2">
        <v>18</v>
      </c>
      <c r="B85" s="2" t="s">
        <v>55</v>
      </c>
      <c r="C85" s="6">
        <v>23385000</v>
      </c>
      <c r="D85" s="6">
        <f>C85/1.62</f>
        <v>14435185.185185185</v>
      </c>
      <c r="E85" s="4">
        <v>0</v>
      </c>
      <c r="F85" s="4">
        <v>0</v>
      </c>
      <c r="G85" s="4">
        <v>0</v>
      </c>
      <c r="H85" s="7">
        <f>D85-E85-F85</f>
        <v>14435185.185185185</v>
      </c>
    </row>
    <row r="86" spans="1:8">
      <c r="A86" s="2"/>
      <c r="B86" s="2"/>
      <c r="C86" s="6"/>
      <c r="D86" s="6"/>
      <c r="E86" s="4"/>
      <c r="F86" s="4"/>
      <c r="G86" s="4"/>
      <c r="H86" s="4"/>
    </row>
    <row r="87" spans="1:8">
      <c r="A87" s="2">
        <v>19</v>
      </c>
      <c r="B87" s="2" t="s">
        <v>56</v>
      </c>
      <c r="C87" s="6">
        <v>20260000</v>
      </c>
      <c r="D87" s="6">
        <f t="shared" ref="D87:D95" si="7">C87/1.62</f>
        <v>12506172.839506172</v>
      </c>
      <c r="E87" s="4">
        <v>78433.119999999995</v>
      </c>
      <c r="F87" s="4">
        <v>463150</v>
      </c>
      <c r="G87" s="4">
        <v>443150</v>
      </c>
      <c r="H87" s="7">
        <f t="shared" ref="H87:H95" si="8">D87-E87-F87</f>
        <v>11964589.719506172</v>
      </c>
    </row>
    <row r="88" spans="1:8" ht="30">
      <c r="A88" s="2"/>
      <c r="B88" s="2" t="s">
        <v>57</v>
      </c>
      <c r="C88" s="6">
        <v>23000000</v>
      </c>
      <c r="D88" s="6">
        <f t="shared" si="7"/>
        <v>14197530.86419753</v>
      </c>
      <c r="E88" s="4">
        <v>380446.88</v>
      </c>
      <c r="F88" s="4">
        <v>5900000</v>
      </c>
      <c r="G88" s="4">
        <v>5800000</v>
      </c>
      <c r="H88" s="7">
        <f t="shared" si="8"/>
        <v>7917083.984197529</v>
      </c>
    </row>
    <row r="89" spans="1:8" ht="45">
      <c r="A89" s="2"/>
      <c r="B89" s="2" t="s">
        <v>58</v>
      </c>
      <c r="C89" s="6">
        <v>19440000</v>
      </c>
      <c r="D89" s="6">
        <f t="shared" si="7"/>
        <v>12000000</v>
      </c>
      <c r="E89" s="4">
        <v>141409.71</v>
      </c>
      <c r="F89" s="4">
        <v>1403276</v>
      </c>
      <c r="G89" s="4">
        <v>1403276</v>
      </c>
      <c r="H89" s="7">
        <f t="shared" si="8"/>
        <v>10455314.289999999</v>
      </c>
    </row>
    <row r="90" spans="1:8" ht="45">
      <c r="A90" s="2"/>
      <c r="B90" s="2" t="s">
        <v>59</v>
      </c>
      <c r="C90" s="6">
        <v>5832000</v>
      </c>
      <c r="D90" s="6">
        <f t="shared" si="7"/>
        <v>3599999.9999999995</v>
      </c>
      <c r="E90" s="4">
        <v>104305</v>
      </c>
      <c r="F90" s="4">
        <v>1035120</v>
      </c>
      <c r="G90" s="4">
        <v>1000120</v>
      </c>
      <c r="H90" s="7">
        <f t="shared" si="8"/>
        <v>2460574.9999999995</v>
      </c>
    </row>
    <row r="91" spans="1:8" ht="45">
      <c r="A91" s="2"/>
      <c r="B91" s="2" t="s">
        <v>60</v>
      </c>
      <c r="C91" s="6">
        <f>2000000+2000000</f>
        <v>4000000</v>
      </c>
      <c r="D91" s="6">
        <f t="shared" si="7"/>
        <v>2469135.8024691357</v>
      </c>
      <c r="E91" s="4">
        <v>0</v>
      </c>
      <c r="F91" s="4">
        <v>1700000</v>
      </c>
      <c r="G91" s="4">
        <v>1700000</v>
      </c>
      <c r="H91" s="7">
        <f t="shared" si="8"/>
        <v>769135.80246913573</v>
      </c>
    </row>
    <row r="92" spans="1:8" ht="45">
      <c r="A92" s="2"/>
      <c r="B92" s="2" t="s">
        <v>61</v>
      </c>
      <c r="C92" s="6">
        <v>23328000</v>
      </c>
      <c r="D92" s="6">
        <f t="shared" si="7"/>
        <v>14399999.999999998</v>
      </c>
      <c r="E92" s="4">
        <v>124896</v>
      </c>
      <c r="F92" s="4">
        <v>2910080</v>
      </c>
      <c r="G92" s="4">
        <v>2905040</v>
      </c>
      <c r="H92" s="7">
        <f t="shared" si="8"/>
        <v>11365023.999999998</v>
      </c>
    </row>
    <row r="93" spans="1:8" ht="30">
      <c r="A93" s="2"/>
      <c r="B93" s="2" t="s">
        <v>62</v>
      </c>
      <c r="C93" s="6">
        <v>2140000</v>
      </c>
      <c r="D93" s="6">
        <f t="shared" si="7"/>
        <v>1320987.6543209876</v>
      </c>
      <c r="E93" s="4">
        <v>0</v>
      </c>
      <c r="F93" s="4">
        <v>0</v>
      </c>
      <c r="G93" s="4">
        <v>0</v>
      </c>
      <c r="H93" s="7">
        <f t="shared" si="8"/>
        <v>1320987.6543209876</v>
      </c>
    </row>
    <row r="94" spans="1:8" ht="30">
      <c r="A94" s="2"/>
      <c r="B94" s="2" t="s">
        <v>63</v>
      </c>
      <c r="C94" s="6">
        <v>2000000</v>
      </c>
      <c r="D94" s="6">
        <f t="shared" si="7"/>
        <v>1234567.9012345679</v>
      </c>
      <c r="E94" s="4">
        <v>0</v>
      </c>
      <c r="F94" s="4">
        <v>100000</v>
      </c>
      <c r="G94" s="4">
        <v>100000</v>
      </c>
      <c r="H94" s="7">
        <f t="shared" si="8"/>
        <v>1134567.9012345679</v>
      </c>
    </row>
    <row r="95" spans="1:8" ht="45">
      <c r="A95" s="2"/>
      <c r="B95" s="2" t="s">
        <v>64</v>
      </c>
      <c r="C95" s="6">
        <v>2000000</v>
      </c>
      <c r="D95" s="6">
        <f t="shared" si="7"/>
        <v>1234567.9012345679</v>
      </c>
      <c r="E95" s="4">
        <v>0</v>
      </c>
      <c r="F95" s="4">
        <v>0</v>
      </c>
      <c r="G95" s="4">
        <v>0</v>
      </c>
      <c r="H95" s="7">
        <f t="shared" si="8"/>
        <v>1234567.9012345679</v>
      </c>
    </row>
    <row r="96" spans="1:8">
      <c r="A96" s="2"/>
      <c r="B96" s="2"/>
      <c r="C96" s="6"/>
      <c r="D96" s="6"/>
      <c r="E96" s="4"/>
      <c r="F96" s="4"/>
      <c r="G96" s="4"/>
      <c r="H96" s="4"/>
    </row>
    <row r="97" spans="1:8" ht="45">
      <c r="A97" s="2">
        <v>20</v>
      </c>
      <c r="B97" s="2" t="s">
        <v>65</v>
      </c>
      <c r="C97" s="6">
        <v>24300000</v>
      </c>
      <c r="D97" s="6">
        <f>C97/1.62</f>
        <v>14999999.999999998</v>
      </c>
      <c r="E97" s="4">
        <f>499328.69+216584.38+29101.44</f>
        <v>745014.51</v>
      </c>
      <c r="F97" s="4">
        <v>5830056</v>
      </c>
      <c r="G97" s="4">
        <v>4696574</v>
      </c>
      <c r="H97" s="7">
        <f>D97-E97-F97</f>
        <v>8424929.4899999984</v>
      </c>
    </row>
  </sheetData>
  <mergeCells count="12">
    <mergeCell ref="A6:B6"/>
    <mergeCell ref="A74:B74"/>
    <mergeCell ref="A1:H1"/>
    <mergeCell ref="A2:H2"/>
    <mergeCell ref="A3:A4"/>
    <mergeCell ref="B3:B4"/>
    <mergeCell ref="C3:C4"/>
    <mergeCell ref="D3:D4"/>
    <mergeCell ref="E3:E4"/>
    <mergeCell ref="F3:F4"/>
    <mergeCell ref="G3:G4"/>
    <mergeCell ref="H3:H4"/>
  </mergeCells>
  <hyperlinks>
    <hyperlink ref="A3" r:id="rId1"/>
  </hyperlinks>
  <pageMargins left="0.70866141732283472" right="0.70866141732283472" top="0.74803149606299213" bottom="0.74803149606299213" header="0.31496062992125984" footer="0.31496062992125984"/>
  <pageSetup paperSize="5" scale="65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>
      <selection sqref="A1:H21"/>
    </sheetView>
  </sheetViews>
  <sheetFormatPr defaultRowHeight="15"/>
  <cols>
    <col min="1" max="1" width="4.140625" style="1" customWidth="1"/>
    <col min="2" max="2" width="37.7109375" style="1" customWidth="1"/>
    <col min="3" max="3" width="15.42578125" style="1" bestFit="1" customWidth="1"/>
    <col min="4" max="5" width="15.42578125" style="1" customWidth="1"/>
    <col min="6" max="8" width="14.28515625" style="1" bestFit="1" customWidth="1"/>
    <col min="9" max="16384" width="9.140625" style="1"/>
  </cols>
  <sheetData>
    <row r="1" spans="1:8">
      <c r="A1" s="21" t="s">
        <v>66</v>
      </c>
      <c r="B1" s="21"/>
      <c r="C1" s="21"/>
      <c r="D1" s="21"/>
      <c r="E1" s="21"/>
      <c r="F1" s="21"/>
      <c r="G1" s="21"/>
      <c r="H1" s="21"/>
    </row>
    <row r="2" spans="1:8">
      <c r="A2" s="22" t="s">
        <v>77</v>
      </c>
      <c r="B2" s="22"/>
      <c r="C2" s="22"/>
      <c r="D2" s="22"/>
      <c r="E2" s="22"/>
      <c r="F2" s="22"/>
      <c r="G2" s="22"/>
      <c r="H2" s="22"/>
    </row>
    <row r="3" spans="1:8">
      <c r="A3" s="27" t="s">
        <v>75</v>
      </c>
      <c r="B3" s="27"/>
      <c r="C3" s="27"/>
      <c r="D3" s="27"/>
      <c r="E3" s="27"/>
      <c r="F3" s="27"/>
      <c r="G3" s="27"/>
      <c r="H3" s="27"/>
    </row>
    <row r="4" spans="1:8" ht="12.75" customHeight="1">
      <c r="A4" s="23" t="s">
        <v>3</v>
      </c>
      <c r="B4" s="23" t="s">
        <v>4</v>
      </c>
      <c r="C4" s="25" t="s">
        <v>67</v>
      </c>
      <c r="D4" s="25" t="s">
        <v>72</v>
      </c>
      <c r="E4" s="25" t="s">
        <v>74</v>
      </c>
      <c r="F4" s="25" t="s">
        <v>7</v>
      </c>
      <c r="G4" s="25" t="s">
        <v>8</v>
      </c>
      <c r="H4" s="25" t="s">
        <v>9</v>
      </c>
    </row>
    <row r="5" spans="1:8" ht="45.75" customHeight="1">
      <c r="A5" s="23"/>
      <c r="B5" s="24"/>
      <c r="C5" s="26"/>
      <c r="D5" s="26"/>
      <c r="E5" s="26"/>
      <c r="F5" s="26"/>
      <c r="G5" s="26"/>
      <c r="H5" s="26"/>
    </row>
    <row r="6" spans="1:8">
      <c r="A6" s="12"/>
      <c r="B6" s="11"/>
      <c r="C6" s="4"/>
      <c r="D6" s="4"/>
      <c r="E6" s="4"/>
      <c r="F6" s="4"/>
      <c r="G6" s="4"/>
      <c r="H6" s="4"/>
    </row>
    <row r="7" spans="1:8">
      <c r="A7" s="11">
        <v>1</v>
      </c>
      <c r="B7" s="9" t="s">
        <v>0</v>
      </c>
      <c r="C7" s="6">
        <v>40500000</v>
      </c>
      <c r="D7" s="6">
        <v>45003896</v>
      </c>
      <c r="E7" s="6">
        <v>6420000</v>
      </c>
      <c r="F7" s="4">
        <v>491096.65</v>
      </c>
      <c r="G7" s="6">
        <v>6420000</v>
      </c>
      <c r="H7" s="6">
        <v>6420000</v>
      </c>
    </row>
    <row r="8" spans="1:8">
      <c r="A8" s="11"/>
      <c r="B8" s="9"/>
      <c r="C8" s="6"/>
      <c r="D8" s="6"/>
      <c r="E8" s="6"/>
      <c r="F8" s="4"/>
      <c r="G8" s="4"/>
      <c r="H8" s="4"/>
    </row>
    <row r="9" spans="1:8">
      <c r="A9" s="11">
        <v>2</v>
      </c>
      <c r="B9" s="9" t="s">
        <v>42</v>
      </c>
      <c r="C9" s="6">
        <v>72000000</v>
      </c>
      <c r="D9" s="6">
        <v>31556152</v>
      </c>
      <c r="E9" s="6">
        <v>15480000</v>
      </c>
      <c r="F9" s="4">
        <v>2432082</v>
      </c>
      <c r="G9" s="6">
        <v>15480000</v>
      </c>
      <c r="H9" s="6">
        <v>15145000</v>
      </c>
    </row>
    <row r="10" spans="1:8">
      <c r="A10" s="11"/>
      <c r="B10" s="9"/>
      <c r="C10" s="6"/>
      <c r="D10" s="6"/>
      <c r="E10" s="6"/>
      <c r="F10" s="4"/>
      <c r="G10" s="4"/>
      <c r="H10" s="4"/>
    </row>
    <row r="11" spans="1:8">
      <c r="A11" s="12">
        <v>3</v>
      </c>
      <c r="B11" s="12" t="s">
        <v>71</v>
      </c>
      <c r="C11" s="6">
        <v>20000000</v>
      </c>
      <c r="D11" s="6">
        <v>12881680</v>
      </c>
      <c r="E11" s="6">
        <v>2150000</v>
      </c>
      <c r="F11" s="17">
        <v>150056</v>
      </c>
      <c r="G11" s="6">
        <v>2150000</v>
      </c>
      <c r="H11" s="6">
        <v>2150000</v>
      </c>
    </row>
    <row r="12" spans="1:8">
      <c r="A12" s="12"/>
      <c r="B12" s="12"/>
      <c r="C12" s="6"/>
      <c r="D12" s="6"/>
      <c r="E12" s="6"/>
      <c r="F12" s="4"/>
      <c r="G12" s="4"/>
      <c r="H12" s="4"/>
    </row>
    <row r="13" spans="1:8">
      <c r="A13" s="12">
        <v>4</v>
      </c>
      <c r="B13" s="12" t="s">
        <v>56</v>
      </c>
      <c r="C13" s="6">
        <v>77000000</v>
      </c>
      <c r="D13" s="6">
        <v>43422753</v>
      </c>
      <c r="E13" s="6">
        <v>5646000</v>
      </c>
      <c r="F13" s="17" t="s">
        <v>73</v>
      </c>
      <c r="G13" s="4">
        <v>5646000</v>
      </c>
      <c r="H13" s="4">
        <v>5646000</v>
      </c>
    </row>
    <row r="14" spans="1:8">
      <c r="A14" s="4"/>
      <c r="B14" s="4"/>
      <c r="C14" s="4"/>
      <c r="D14" s="4"/>
      <c r="E14" s="4"/>
      <c r="F14" s="4"/>
      <c r="G14" s="4"/>
      <c r="H14" s="4"/>
    </row>
    <row r="15" spans="1:8">
      <c r="A15" s="4">
        <v>5</v>
      </c>
      <c r="B15" s="4" t="s">
        <v>68</v>
      </c>
      <c r="C15" s="6">
        <v>36000000</v>
      </c>
      <c r="D15" s="4">
        <v>27496839</v>
      </c>
      <c r="E15" s="4">
        <v>11315000</v>
      </c>
      <c r="F15" s="4">
        <v>1572607</v>
      </c>
      <c r="G15" s="4">
        <v>11315000</v>
      </c>
      <c r="H15" s="4">
        <v>11295000</v>
      </c>
    </row>
    <row r="16" spans="1:8">
      <c r="A16" s="4"/>
      <c r="B16" s="4"/>
      <c r="C16" s="4"/>
      <c r="D16" s="4"/>
      <c r="E16" s="4"/>
      <c r="F16" s="4"/>
      <c r="G16" s="4"/>
      <c r="H16" s="4"/>
    </row>
    <row r="17" spans="1:8">
      <c r="A17" s="4">
        <v>6</v>
      </c>
      <c r="B17" s="4" t="s">
        <v>69</v>
      </c>
      <c r="C17" s="6">
        <v>27000000</v>
      </c>
      <c r="D17" s="4">
        <v>18268652</v>
      </c>
      <c r="E17" s="4">
        <v>2920000</v>
      </c>
      <c r="F17" s="4">
        <v>1551453</v>
      </c>
      <c r="G17" s="4">
        <v>2920000</v>
      </c>
      <c r="H17" s="4">
        <v>2920000</v>
      </c>
    </row>
    <row r="18" spans="1:8">
      <c r="A18" s="4"/>
      <c r="B18" s="4"/>
      <c r="C18" s="4"/>
      <c r="D18" s="4"/>
      <c r="E18" s="4"/>
      <c r="F18" s="4"/>
      <c r="G18" s="4"/>
      <c r="H18" s="4"/>
    </row>
    <row r="19" spans="1:8">
      <c r="A19" s="4">
        <v>7</v>
      </c>
      <c r="B19" s="4" t="s">
        <v>70</v>
      </c>
      <c r="C19" s="6">
        <v>36000000</v>
      </c>
      <c r="D19" s="4">
        <v>10633022</v>
      </c>
      <c r="E19" s="4">
        <v>2820000</v>
      </c>
      <c r="F19" s="4">
        <v>309404</v>
      </c>
      <c r="G19" s="4">
        <v>2820000</v>
      </c>
      <c r="H19" s="4">
        <v>2820000</v>
      </c>
    </row>
    <row r="21" spans="1:8">
      <c r="A21" s="4">
        <v>8</v>
      </c>
      <c r="B21" s="4" t="s">
        <v>76</v>
      </c>
      <c r="C21" s="6">
        <v>36000000</v>
      </c>
      <c r="D21" s="4">
        <v>3300471</v>
      </c>
      <c r="E21" s="4">
        <v>120000</v>
      </c>
      <c r="F21" s="4">
        <v>1691487</v>
      </c>
      <c r="G21" s="4">
        <v>120000</v>
      </c>
      <c r="H21" s="4">
        <v>120000</v>
      </c>
    </row>
  </sheetData>
  <mergeCells count="11">
    <mergeCell ref="E4:E5"/>
    <mergeCell ref="A1:H1"/>
    <mergeCell ref="A2:H2"/>
    <mergeCell ref="A4:A5"/>
    <mergeCell ref="B4:B5"/>
    <mergeCell ref="C4:C5"/>
    <mergeCell ref="F4:F5"/>
    <mergeCell ref="G4:G5"/>
    <mergeCell ref="H4:H5"/>
    <mergeCell ref="D4:D5"/>
    <mergeCell ref="A3:H3"/>
  </mergeCells>
  <hyperlinks>
    <hyperlink ref="A4" r:id="rId1"/>
  </hyperlinks>
  <pageMargins left="0.7" right="0.7" top="0.75" bottom="0.75" header="0.3" footer="0.3"/>
  <pageSetup paperSize="9"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"/>
  <sheetViews>
    <sheetView workbookViewId="0">
      <selection sqref="A1:H13"/>
    </sheetView>
  </sheetViews>
  <sheetFormatPr defaultRowHeight="15"/>
  <cols>
    <col min="1" max="1" width="4.140625" style="1" customWidth="1"/>
    <col min="2" max="2" width="37.7109375" style="1" customWidth="1"/>
    <col min="3" max="3" width="15.42578125" style="1" bestFit="1" customWidth="1"/>
    <col min="4" max="5" width="15.42578125" style="1" customWidth="1"/>
    <col min="6" max="8" width="14.28515625" style="1" bestFit="1" customWidth="1"/>
    <col min="9" max="16384" width="9.140625" style="1"/>
  </cols>
  <sheetData>
    <row r="1" spans="1:8">
      <c r="A1" s="21" t="s">
        <v>66</v>
      </c>
      <c r="B1" s="21"/>
      <c r="C1" s="21"/>
      <c r="D1" s="21"/>
      <c r="E1" s="21"/>
      <c r="F1" s="21"/>
      <c r="G1" s="21"/>
      <c r="H1" s="21"/>
    </row>
    <row r="2" spans="1:8">
      <c r="A2" s="22" t="s">
        <v>78</v>
      </c>
      <c r="B2" s="22"/>
      <c r="C2" s="22"/>
      <c r="D2" s="22"/>
      <c r="E2" s="22"/>
      <c r="F2" s="22"/>
      <c r="G2" s="22"/>
      <c r="H2" s="22"/>
    </row>
    <row r="3" spans="1:8">
      <c r="A3" s="27" t="s">
        <v>75</v>
      </c>
      <c r="B3" s="27"/>
      <c r="C3" s="27"/>
      <c r="D3" s="27"/>
      <c r="E3" s="27"/>
      <c r="F3" s="27"/>
      <c r="G3" s="27"/>
      <c r="H3" s="27"/>
    </row>
    <row r="4" spans="1:8" ht="12.75" customHeight="1">
      <c r="A4" s="23" t="s">
        <v>3</v>
      </c>
      <c r="B4" s="23" t="s">
        <v>4</v>
      </c>
      <c r="C4" s="25" t="s">
        <v>67</v>
      </c>
      <c r="D4" s="15"/>
      <c r="E4" s="25" t="s">
        <v>74</v>
      </c>
      <c r="F4" s="25" t="s">
        <v>7</v>
      </c>
      <c r="G4" s="25" t="s">
        <v>8</v>
      </c>
      <c r="H4" s="25" t="s">
        <v>9</v>
      </c>
    </row>
    <row r="5" spans="1:8" ht="45">
      <c r="A5" s="23"/>
      <c r="B5" s="24"/>
      <c r="C5" s="26"/>
      <c r="D5" s="16" t="s">
        <v>72</v>
      </c>
      <c r="E5" s="26"/>
      <c r="F5" s="26"/>
      <c r="G5" s="26"/>
      <c r="H5" s="26"/>
    </row>
    <row r="6" spans="1:8">
      <c r="A6" s="14"/>
      <c r="B6" s="13"/>
      <c r="C6" s="4"/>
      <c r="D6" s="4"/>
      <c r="E6" s="4"/>
      <c r="F6" s="4"/>
      <c r="G6" s="4"/>
      <c r="H6" s="4"/>
    </row>
    <row r="7" spans="1:8">
      <c r="A7" s="14"/>
      <c r="B7" s="14"/>
      <c r="C7" s="6"/>
      <c r="D7" s="6"/>
      <c r="E7" s="6"/>
      <c r="F7" s="4"/>
      <c r="G7" s="4"/>
      <c r="H7" s="4"/>
    </row>
    <row r="8" spans="1:8">
      <c r="A8" s="14">
        <v>1</v>
      </c>
      <c r="B8" s="14" t="s">
        <v>56</v>
      </c>
      <c r="C8" s="6">
        <v>77000000</v>
      </c>
      <c r="D8" s="6">
        <v>21322794</v>
      </c>
      <c r="E8" s="6">
        <v>10661397</v>
      </c>
      <c r="F8" s="17" t="s">
        <v>73</v>
      </c>
      <c r="G8" s="4">
        <v>1485726</v>
      </c>
      <c r="H8" s="4">
        <v>1485726</v>
      </c>
    </row>
    <row r="9" spans="1:8">
      <c r="A9" s="4"/>
      <c r="B9" s="4"/>
      <c r="C9" s="4"/>
      <c r="D9" s="4"/>
      <c r="E9" s="4"/>
      <c r="F9" s="4"/>
      <c r="G9" s="4"/>
      <c r="H9" s="4"/>
    </row>
    <row r="10" spans="1:8">
      <c r="A10" s="4">
        <v>2</v>
      </c>
      <c r="B10" s="4" t="s">
        <v>68</v>
      </c>
      <c r="C10" s="6">
        <v>36000000</v>
      </c>
      <c r="D10" s="4">
        <v>3099845</v>
      </c>
      <c r="E10" s="4">
        <v>2106000</v>
      </c>
      <c r="F10" s="4">
        <v>296700</v>
      </c>
      <c r="G10" s="4">
        <v>2106000</v>
      </c>
      <c r="H10" s="4">
        <v>1726000</v>
      </c>
    </row>
    <row r="12" spans="1:8">
      <c r="A12" s="18">
        <v>3</v>
      </c>
      <c r="B12" s="18" t="s">
        <v>71</v>
      </c>
      <c r="C12" s="6">
        <v>20000000</v>
      </c>
      <c r="D12" s="6">
        <v>314187</v>
      </c>
      <c r="E12" s="6">
        <v>139720</v>
      </c>
      <c r="F12" s="17">
        <v>22820</v>
      </c>
      <c r="G12" s="6">
        <v>139720</v>
      </c>
      <c r="H12" s="6">
        <v>139720</v>
      </c>
    </row>
  </sheetData>
  <mergeCells count="10">
    <mergeCell ref="A1:H1"/>
    <mergeCell ref="A2:H2"/>
    <mergeCell ref="A4:A5"/>
    <mergeCell ref="B4:B5"/>
    <mergeCell ref="C4:C5"/>
    <mergeCell ref="E4:E5"/>
    <mergeCell ref="F4:F5"/>
    <mergeCell ref="G4:G5"/>
    <mergeCell ref="H4:H5"/>
    <mergeCell ref="A3:H3"/>
  </mergeCells>
  <hyperlinks>
    <hyperlink ref="A4" r:id="rId1"/>
  </hyperlinks>
  <pageMargins left="0.7" right="0.7" top="0.75" bottom="0.75" header="0.3" footer="0.3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Distillery 16.03.2026</vt:lpstr>
      <vt:lpstr>Export ENA</vt:lpstr>
      <vt:lpstr>Export AA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2026-03-16T08:28:15Z</dcterms:modified>
</cp:coreProperties>
</file>